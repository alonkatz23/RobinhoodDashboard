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<sst xmlns="http://schemas.openxmlformats.org/spreadsheetml/2006/main" count="20" uniqueCount="19">
  <si>
    <t>Action</t>
  </si>
  <si>
    <t>Amount Changed</t>
  </si>
  <si>
    <t>Total Before Transaction</t>
  </si>
  <si>
    <t>% Change Since Last Transaction</t>
  </si>
  <si>
    <t>Alon Before</t>
  </si>
  <si>
    <t>Noam Before</t>
  </si>
  <si>
    <t>Aba Before</t>
  </si>
  <si>
    <t>Alon After</t>
  </si>
  <si>
    <t>Noam After</t>
  </si>
  <si>
    <t>Aba After</t>
  </si>
  <si>
    <t>Alon %</t>
  </si>
  <si>
    <t>Noam %</t>
  </si>
  <si>
    <t>Aba %</t>
  </si>
  <si>
    <t>Total</t>
  </si>
  <si>
    <t>Date</t>
  </si>
  <si>
    <t>Noam Added $36,000</t>
  </si>
  <si>
    <t>Aba Added $100,00 for Crypto</t>
  </si>
  <si>
    <t>Alon take out 1500</t>
  </si>
  <si>
    <t>Aba added $50000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</si>
</sst>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 d, yyyy"/>
    <numFmt numFmtId="165" formatCode="mmm d, 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0" xfId="0" applyFont="1"/>
    <xf borderId="0" fillId="0" fontId="1" numFmtId="3" xfId="0" applyFont="1" applyNumberFormat="1"/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38"/>
    <col customWidth="1" min="2" max="2" width="13.88"/>
    <col customWidth="1" min="3" max="3" width="19.13"/>
    <col customWidth="1" min="4" max="4" width="30.5"/>
    <col customWidth="1" min="5" max="5" width="9.63"/>
    <col customWidth="1" min="6" max="7" width="11.0"/>
    <col customWidth="1" min="8" max="8" width="8.88"/>
    <col customWidth="1" min="9" max="10" width="9.75"/>
    <col customWidth="1" min="11" max="11" width="8.63"/>
    <col customWidth="1" min="12" max="13" width="10.5"/>
    <col customWidth="1" min="14" max="14" width="8.0"/>
    <col customWidth="1" min="15" max="15" width="1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 t="s">
        <v>15</v>
      </c>
      <c r="B2" s="2">
        <v>36000.0</v>
      </c>
      <c r="C2" s="2">
        <v>64205.0</v>
      </c>
      <c r="E2" s="2">
        <v>64205.0</v>
      </c>
      <c r="F2" s="2">
        <v>0.0</v>
      </c>
      <c r="G2" s="2">
        <v>0.0</v>
      </c>
      <c r="H2" s="2">
        <v>64205.0</v>
      </c>
      <c r="I2" s="2">
        <v>36000.0</v>
      </c>
      <c r="J2" s="2">
        <v>0.0</v>
      </c>
      <c r="K2" s="3">
        <f>H2/(H2+I2)</f>
        <v>0.6407364902</v>
      </c>
      <c r="L2" s="3">
        <f>1 - K2</f>
        <v>0.3592635098</v>
      </c>
      <c r="M2" s="1">
        <v>0.0</v>
      </c>
      <c r="N2" s="4">
        <f>H2+I2</f>
        <v>100205</v>
      </c>
      <c r="O2" s="5">
        <v>45817.0</v>
      </c>
    </row>
    <row r="3">
      <c r="A3" s="1" t="s">
        <v>16</v>
      </c>
      <c r="B3" s="2">
        <v>100000.0</v>
      </c>
      <c r="C3" s="2">
        <v>96430.0</v>
      </c>
      <c r="D3" s="3">
        <f t="shared" ref="D3:D6" si="2">C3/N2</f>
        <v>0.9623272292</v>
      </c>
      <c r="E3" s="3">
        <f>D3*H2</f>
        <v>61786.21975</v>
      </c>
      <c r="F3" s="3">
        <f>D3*I2</f>
        <v>34643.78025</v>
      </c>
      <c r="G3" s="1">
        <v>0.0</v>
      </c>
      <c r="H3" s="3">
        <f t="shared" ref="H3:I3" si="1">E3</f>
        <v>61786.21975</v>
      </c>
      <c r="I3" s="3">
        <f t="shared" si="1"/>
        <v>34643.78025</v>
      </c>
      <c r="J3" s="2">
        <v>100000.0</v>
      </c>
      <c r="K3" s="3">
        <f>H3/(H3+I3 +J3)</f>
        <v>0.3145457402</v>
      </c>
      <c r="L3" s="3">
        <f>I3/(H3+I3+J3)</f>
        <v>0.1763670532</v>
      </c>
      <c r="M3" s="3">
        <f> 1-(K3+L3)</f>
        <v>0.5090872066</v>
      </c>
      <c r="N3" s="4">
        <f>H3+I3+J3</f>
        <v>196430</v>
      </c>
      <c r="O3" s="5">
        <v>45831.0</v>
      </c>
    </row>
    <row r="4">
      <c r="A4" s="1" t="s">
        <v>17</v>
      </c>
      <c r="B4" s="1">
        <v>-1500.0</v>
      </c>
      <c r="C4" s="2">
        <v>208000.0</v>
      </c>
      <c r="D4" s="3">
        <f t="shared" si="2"/>
        <v>1.05890139</v>
      </c>
      <c r="E4" s="3">
        <f>C4*K3</f>
        <v>65425.51396</v>
      </c>
      <c r="F4" s="3">
        <f>C4*L3</f>
        <v>36684.34706</v>
      </c>
      <c r="G4" s="3">
        <f>C4*M3</f>
        <v>105890.139</v>
      </c>
      <c r="H4" s="3">
        <f>E4+B4</f>
        <v>63925.51396</v>
      </c>
      <c r="I4" s="3">
        <f t="shared" ref="I4:J4" si="3">F4</f>
        <v>36684.34706</v>
      </c>
      <c r="J4" s="3">
        <f t="shared" si="3"/>
        <v>105890.139</v>
      </c>
      <c r="K4" s="3">
        <f t="shared" ref="K4:K6" si="5">H4/N4</f>
        <v>0.3095666536</v>
      </c>
      <c r="L4" s="3">
        <f t="shared" ref="L4:L6" si="6">I4/N4</f>
        <v>0.1776481698</v>
      </c>
      <c r="M4" s="3">
        <f t="shared" ref="M4:M6" si="7">J4/N4</f>
        <v>0.5127851767</v>
      </c>
      <c r="N4" s="4">
        <f>C4+B4</f>
        <v>206500</v>
      </c>
      <c r="O4" s="5">
        <v>45838.0</v>
      </c>
    </row>
    <row r="5">
      <c r="A5" s="1" t="s">
        <v>18</v>
      </c>
      <c r="B5" s="1">
        <v>50000.0</v>
      </c>
      <c r="C5" s="2">
        <v>235350.0</v>
      </c>
      <c r="D5" s="3">
        <f t="shared" si="2"/>
        <v>1.139709443</v>
      </c>
      <c r="E5" s="3">
        <f t="shared" ref="E5:E6" si="8">K4*C5</f>
        <v>72856.51192</v>
      </c>
      <c r="F5" s="3">
        <f t="shared" ref="F5:F6" si="9">L4*C5</f>
        <v>41809.49675</v>
      </c>
      <c r="G5" s="3">
        <f t="shared" ref="G5:G6" si="10">M4*C5</f>
        <v>120683.9913</v>
      </c>
      <c r="H5" s="3">
        <f t="shared" ref="H5:I5" si="4">E5</f>
        <v>72856.51192</v>
      </c>
      <c r="I5" s="3">
        <f t="shared" si="4"/>
        <v>41809.49675</v>
      </c>
      <c r="J5" s="3">
        <f t="shared" ref="J5:J6" si="12">G5+B5</f>
        <v>170683.9913</v>
      </c>
      <c r="K5" s="3">
        <f t="shared" si="5"/>
        <v>0.255323329</v>
      </c>
      <c r="L5" s="3">
        <f t="shared" si="6"/>
        <v>0.1465200517</v>
      </c>
      <c r="M5" s="3">
        <f t="shared" si="7"/>
        <v>0.5981566193</v>
      </c>
      <c r="N5" s="3">
        <f>H5+I5+J5</f>
        <v>285350</v>
      </c>
      <c r="O5" s="6">
        <v>45854.0</v>
      </c>
    </row>
    <row r="6">
      <c r="A6" s="1" t="s">
        <v>18</v>
      </c>
      <c r="B6" s="1">
        <v>50000.0</v>
      </c>
      <c r="C6" s="1">
        <v>330100.0</v>
      </c>
      <c r="D6" s="1">
        <f t="shared" si="2"/>
        <v>1.156824952</v>
      </c>
      <c r="E6" s="3">
        <f t="shared" si="8"/>
        <v>84282.23089</v>
      </c>
      <c r="F6" s="3">
        <f t="shared" si="9"/>
        <v>48366.26907</v>
      </c>
      <c r="G6" s="3">
        <f t="shared" si="10"/>
        <v>197451.5</v>
      </c>
      <c r="H6" s="3">
        <f t="shared" ref="H6:I6" si="11">E6</f>
        <v>84282.23089</v>
      </c>
      <c r="I6" s="3">
        <f t="shared" si="11"/>
        <v>48366.26907</v>
      </c>
      <c r="J6" s="3">
        <f t="shared" si="12"/>
        <v>247451.5</v>
      </c>
      <c r="K6" s="3">
        <f t="shared" si="5"/>
        <v>0.2217369926</v>
      </c>
      <c r="L6" s="3">
        <f t="shared" si="6"/>
        <v>0.1272461696</v>
      </c>
      <c r="M6" s="3">
        <f t="shared" si="7"/>
        <v>0.6510168378</v>
      </c>
      <c r="N6" s="3">
        <f>C6+B6</f>
        <v>380100</v>
      </c>
    </row>
  </sheetData>
  <drawing r:id="rId1"/>
</worksheet>
</file>